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خطة التدريب 2026" sheetId="1" r:id="rId1"/>
    <sheet name="ملخص للإدارة" sheetId="2" r:id="rId2"/>
  </sheets>
  <calcPr calcId="124519" fullCalcOnLoad="1"/>
</workbook>
</file>

<file path=xl/sharedStrings.xml><?xml version="1.0" encoding="utf-8"?>
<sst xmlns="http://schemas.openxmlformats.org/spreadsheetml/2006/main" count="44" uniqueCount="39">
  <si>
    <t>البرنامج</t>
  </si>
  <si>
    <t>الإدارة</t>
  </si>
  <si>
    <t>عدد المتدربين</t>
  </si>
  <si>
    <t>تكلفة المتدرب (ريال)</t>
  </si>
  <si>
    <t>التكلفة المخططة</t>
  </si>
  <si>
    <t>المصروف حتى سبتمبر</t>
  </si>
  <si>
    <t>المتبقي</t>
  </si>
  <si>
    <t>نسبة الصرف</t>
  </si>
  <si>
    <t>مهارات خدمة المستفيدين المتقدمة</t>
  </si>
  <si>
    <t>خدمة المستفيدين</t>
  </si>
  <si>
    <t>التدريب على بوابة الخدمات الذاتية</t>
  </si>
  <si>
    <t>الطلاقة في الذكاء الاصطناعي</t>
  </si>
  <si>
    <t>جميع الإدارات</t>
  </si>
  <si>
    <t>إدارة المشاريع الاحترافية</t>
  </si>
  <si>
    <t>تقنية المعلومات</t>
  </si>
  <si>
    <t>التحليل المالي للقطاع العام</t>
  </si>
  <si>
    <t>المالية</t>
  </si>
  <si>
    <t>المشتريات الحكومية</t>
  </si>
  <si>
    <t>المشتريات والعقود</t>
  </si>
  <si>
    <t>الكتابة الرسمية والمراسلات</t>
  </si>
  <si>
    <t>الأمن السيبراني للموظفين</t>
  </si>
  <si>
    <t>قيادة الفرق</t>
  </si>
  <si>
    <t>الإدارة العليا</t>
  </si>
  <si>
    <t>تحليل البيانات بالجداول</t>
  </si>
  <si>
    <t>التخطيط والأداء</t>
  </si>
  <si>
    <t>إمكانية الوصول الرقمي</t>
  </si>
  <si>
    <t>3,200 ريال</t>
  </si>
  <si>
    <t>التفاوض مع الموردين</t>
  </si>
  <si>
    <t>الإسعافات الأولية</t>
  </si>
  <si>
    <t>الخدمات العامة</t>
  </si>
  <si>
    <t>العرض والإلقاء</t>
  </si>
  <si>
    <t>الاتصال المؤسسي</t>
  </si>
  <si>
    <t>الإجمالي</t>
  </si>
  <si>
    <t>البند</t>
  </si>
  <si>
    <t>القيمة</t>
  </si>
  <si>
    <t>الميزانية المعتمدة للتدريب 2026</t>
  </si>
  <si>
    <t>إجمالي التكلفة المخططة</t>
  </si>
  <si>
    <t>إجمالي المصروف حتى سبتمبر</t>
  </si>
  <si>
    <t>المتبقي من الميزانية المعتمدة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</si>
</sst>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%"/>
  </numFmts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1E7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4" fontId="3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rightToLeft="1" tabSelected="1" workbookViewId="0"/>
  </sheetViews>
  <sheetFormatPr defaultRowHeight="15"/>
  <cols>
    <col min="1" max="1" width="38.7109375" customWidth="1"/>
    <col min="2" max="2" width="22.7109375" customWidth="1"/>
    <col min="3" max="3" width="12.7109375" customWidth="1"/>
    <col min="4" max="5" width="16.7109375" customWidth="1"/>
    <col min="6" max="6" width="18.7109375" customWidth="1"/>
    <col min="7" max="7" width="14.7109375" customWidth="1"/>
    <col min="8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3">
        <v>40</v>
      </c>
      <c r="D2" s="3">
        <v>1500</v>
      </c>
      <c r="E2" s="3">
        <f>C2*D2</f>
        <v>60000</v>
      </c>
      <c r="F2" s="3">
        <v>52000</v>
      </c>
      <c r="G2" s="3">
        <f>E2-F2</f>
        <v>8000</v>
      </c>
      <c r="H2" s="4">
        <f>F2/E2</f>
        <v>0.8666666666666667</v>
      </c>
    </row>
    <row r="3" spans="1:8">
      <c r="A3" s="2" t="s">
        <v>10</v>
      </c>
      <c r="B3" s="2" t="s">
        <v>9</v>
      </c>
      <c r="C3" s="3">
        <v>40</v>
      </c>
      <c r="D3" s="3">
        <v>900</v>
      </c>
      <c r="E3" s="3">
        <f>C3*D3</f>
        <v>36000</v>
      </c>
      <c r="F3" s="3">
        <v>0</v>
      </c>
      <c r="G3" s="3">
        <f>E3-F3</f>
        <v>36000</v>
      </c>
      <c r="H3" s="4">
        <f>F3/E3</f>
        <v>0.0</v>
      </c>
    </row>
    <row r="4" spans="1:8">
      <c r="A4" s="2" t="s">
        <v>11</v>
      </c>
      <c r="B4" s="2" t="s">
        <v>12</v>
      </c>
      <c r="C4" s="3">
        <v>60</v>
      </c>
      <c r="D4" s="3">
        <v>2200</v>
      </c>
      <c r="E4" s="3">
        <f>C4*D4</f>
        <v>132000</v>
      </c>
      <c r="F4" s="3">
        <v>61000</v>
      </c>
      <c r="G4" s="3">
        <f>E4-F4</f>
        <v>71000</v>
      </c>
      <c r="H4" s="4">
        <f>F4/E4</f>
        <v>0.4621212121212121</v>
      </c>
    </row>
    <row r="5" spans="1:8">
      <c r="A5" s="2" t="s">
        <v>13</v>
      </c>
      <c r="B5" s="2" t="s">
        <v>14</v>
      </c>
      <c r="C5" s="3">
        <v>9</v>
      </c>
      <c r="D5" s="3">
        <v>5000</v>
      </c>
      <c r="E5" s="3">
        <v>48000</v>
      </c>
      <c r="F5" s="3">
        <v>45000</v>
      </c>
      <c r="G5" s="3">
        <f>E5-F5</f>
        <v>3000</v>
      </c>
      <c r="H5" s="4">
        <f>F5/E5</f>
        <v>0.9375</v>
      </c>
    </row>
    <row r="6" spans="1:8">
      <c r="A6" s="2" t="s">
        <v>15</v>
      </c>
      <c r="B6" s="2" t="s">
        <v>16</v>
      </c>
      <c r="C6" s="3">
        <v>12</v>
      </c>
      <c r="D6" s="3">
        <v>4200</v>
      </c>
      <c r="E6" s="3">
        <f>C6*D6</f>
        <v>50400</v>
      </c>
      <c r="F6" s="3">
        <v>30400</v>
      </c>
      <c r="G6" s="3">
        <f>E6-F6</f>
        <v>20000</v>
      </c>
      <c r="H6" s="4">
        <f>F6/E6</f>
        <v>0.6031746031746031</v>
      </c>
    </row>
    <row r="7" spans="1:8">
      <c r="A7" s="2" t="s">
        <v>17</v>
      </c>
      <c r="B7" s="2" t="s">
        <v>18</v>
      </c>
      <c r="C7" s="3">
        <v>10</v>
      </c>
      <c r="D7" s="3">
        <v>3800</v>
      </c>
      <c r="E7" s="3">
        <f>C7*D7</f>
        <v>38000</v>
      </c>
      <c r="F7" s="3">
        <v>38000</v>
      </c>
      <c r="G7" s="3">
        <f>E7-F7</f>
        <v>0</v>
      </c>
      <c r="H7" s="4">
        <f>F7/E7</f>
        <v>1.0</v>
      </c>
    </row>
    <row r="8" spans="1:8">
      <c r="A8" s="2" t="s">
        <v>19</v>
      </c>
      <c r="B8" s="2" t="s">
        <v>12</v>
      </c>
      <c r="C8" s="3">
        <v>45</v>
      </c>
      <c r="D8" s="3">
        <v>800</v>
      </c>
      <c r="E8" s="3">
        <f>C8*D8</f>
        <v>36000</v>
      </c>
      <c r="F8" s="3">
        <v>21600</v>
      </c>
      <c r="G8" s="3">
        <f>E8-F8</f>
        <v>14400</v>
      </c>
      <c r="H8" s="4">
        <f>F8/E8</f>
        <v>0.6</v>
      </c>
    </row>
    <row r="9" spans="1:8">
      <c r="A9" s="2" t="s">
        <v>20</v>
      </c>
      <c r="B9" s="2" t="s">
        <v>12</v>
      </c>
      <c r="C9" s="3">
        <v>120</v>
      </c>
      <c r="D9" s="3">
        <v>350</v>
      </c>
      <c r="E9" s="3">
        <f>C9*D9</f>
        <v>42000</v>
      </c>
      <c r="F9" s="3">
        <v>42000</v>
      </c>
      <c r="G9" s="3">
        <f>E9-F8</f>
        <v>20400</v>
      </c>
      <c r="H9" s="4">
        <f>F9/E9</f>
        <v>1.0</v>
      </c>
    </row>
    <row r="10" spans="1:8">
      <c r="A10" s="2" t="s">
        <v>21</v>
      </c>
      <c r="B10" s="2" t="s">
        <v>22</v>
      </c>
      <c r="C10" s="3">
        <v>14</v>
      </c>
      <c r="D10" s="3">
        <v>6500</v>
      </c>
      <c r="E10" s="3">
        <f>C10*D10</f>
        <v>91000</v>
      </c>
      <c r="F10" s="3">
        <v>52000</v>
      </c>
      <c r="G10" s="3">
        <f>E10-F10</f>
        <v>39000</v>
      </c>
      <c r="H10" s="4">
        <f>F10/E10</f>
        <v>0.5714285714285714</v>
      </c>
    </row>
    <row r="11" spans="1:8">
      <c r="A11" s="2" t="s">
        <v>23</v>
      </c>
      <c r="B11" s="2" t="s">
        <v>24</v>
      </c>
      <c r="C11" s="3">
        <v>18</v>
      </c>
      <c r="D11" s="3">
        <v>2400</v>
      </c>
      <c r="E11" s="3">
        <f>C11*D11</f>
        <v>43200</v>
      </c>
      <c r="F11" s="3">
        <v>19200</v>
      </c>
      <c r="G11" s="3">
        <f>E11-F11</f>
        <v>24000</v>
      </c>
      <c r="H11" s="4">
        <f>F11/E11</f>
        <v>0.4444444444444444</v>
      </c>
    </row>
    <row r="12" spans="1:8">
      <c r="A12" s="2" t="s">
        <v>25</v>
      </c>
      <c r="B12" s="2" t="s">
        <v>14</v>
      </c>
      <c r="C12" s="3">
        <v>6</v>
      </c>
      <c r="D12" s="2" t="s">
        <v>26</v>
      </c>
      <c r="E12" s="3" t="e">
        <f>C12*D12</f>
        <v>#VALUE!</v>
      </c>
      <c r="F12" s="3">
        <v>9600</v>
      </c>
      <c r="G12" s="3" t="e">
        <f>E12-F12</f>
        <v>#VALUE!</v>
      </c>
      <c r="H12" s="4" t="e">
        <f>F12/E12</f>
        <v>#VALUE!</v>
      </c>
    </row>
    <row r="13" spans="1:8">
      <c r="A13" s="2" t="s">
        <v>27</v>
      </c>
      <c r="B13" s="2" t="s">
        <v>18</v>
      </c>
      <c r="C13" s="3">
        <v>8</v>
      </c>
      <c r="D13" s="3">
        <v>14500</v>
      </c>
      <c r="E13" s="3">
        <f>C13*D13</f>
        <v>116000</v>
      </c>
      <c r="F13" s="3">
        <v>58000</v>
      </c>
      <c r="G13" s="3">
        <f>E13-F13</f>
        <v>58000</v>
      </c>
      <c r="H13" s="4">
        <f>F13/E13</f>
        <v>0.5</v>
      </c>
    </row>
    <row r="14" spans="1:8">
      <c r="A14" s="2" t="s">
        <v>28</v>
      </c>
      <c r="B14" s="2" t="s">
        <v>29</v>
      </c>
      <c r="C14" s="3">
        <v>30</v>
      </c>
      <c r="D14" s="3">
        <v>450</v>
      </c>
      <c r="E14" s="3">
        <f>C14*D14</f>
        <v>13500</v>
      </c>
      <c r="F14" s="3">
        <v>10800</v>
      </c>
      <c r="G14" s="3">
        <f>E14-F14</f>
        <v>2700</v>
      </c>
      <c r="H14" s="4">
        <f>E14/F14</f>
        <v>1.25</v>
      </c>
    </row>
    <row r="15" spans="1:8">
      <c r="A15" s="2" t="s">
        <v>30</v>
      </c>
      <c r="B15" s="2" t="s">
        <v>31</v>
      </c>
      <c r="C15" s="3">
        <v>10</v>
      </c>
      <c r="D15" s="3">
        <v>1900</v>
      </c>
      <c r="E15" s="3">
        <f>C15*D15</f>
        <v>19000</v>
      </c>
      <c r="F15" s="3">
        <v>15200</v>
      </c>
      <c r="G15" s="3">
        <f>E15-F15</f>
        <v>3800</v>
      </c>
      <c r="H15" s="4">
        <f>F15/E15</f>
        <v>0.8</v>
      </c>
    </row>
    <row r="16" spans="1:8">
      <c r="A16" s="5" t="s">
        <v>32</v>
      </c>
      <c r="B16" s="5"/>
      <c r="C16" s="5">
        <f>SUM(C2:C15)</f>
        <v>422</v>
      </c>
      <c r="D16" s="5"/>
      <c r="E16" s="5" t="e">
        <f>SUM(E2:E12)</f>
        <v>#VALUE!</v>
      </c>
      <c r="F16" s="5">
        <f>SUM(F2:F15)</f>
        <v>454800</v>
      </c>
      <c r="G16" s="5"/>
      <c r="H16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rightToLeft="1" workbookViewId="0"/>
  </sheetViews>
  <sheetFormatPr defaultRowHeight="15"/>
  <cols>
    <col min="1" max="2" width="34.7109375" customWidth="1"/>
  </cols>
  <sheetData>
    <row r="1" spans="1:2">
      <c r="A1" s="1" t="s">
        <v>33</v>
      </c>
      <c r="B1" s="1" t="s">
        <v>34</v>
      </c>
    </row>
    <row r="2" spans="1:2">
      <c r="A2" s="2" t="s">
        <v>35</v>
      </c>
      <c r="B2" s="3">
        <v>520000</v>
      </c>
    </row>
    <row r="3" spans="1:2">
      <c r="A3" s="2" t="s">
        <v>36</v>
      </c>
      <c r="B3" s="3" t="e">
        <f>'خطة التدريب 2026'!E16</f>
        <v>#VALUE!</v>
      </c>
    </row>
    <row r="4" spans="1:2">
      <c r="A4" s="2" t="s">
        <v>37</v>
      </c>
      <c r="B4" s="3" t="e">
        <f>SUM(#REF!)</f>
        <v>#REF!</v>
      </c>
    </row>
    <row r="5" spans="1:2">
      <c r="A5" s="2" t="s">
        <v>38</v>
      </c>
      <c r="B5" s="3" t="e">
        <f>B2-B4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خطة التدريب 2026</vt:lpstr>
      <vt:lpstr>ملخص للإدارة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مركز الواحة للخدمات المشتركة</dc:creator>
  <cp:lastModifiedBy>مركز الواحة للخدمات المشتركة</cp:lastModifiedBy>
  <dcterms:created xsi:type="dcterms:W3CDTF">2026-10-01T08:00:00Z</dcterms:created>
  <dcterms:modified xsi:type="dcterms:W3CDTF">2026-10-01T08:00:00Z</dcterms:modified>
</cp:coreProperties>
</file>