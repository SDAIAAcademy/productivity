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خريطة المهام" sheetId="1" r:id="rId1"/>
    <sheet name="سجل الإنتاجية" sheetId="2" r:id="rId2"/>
    <sheet name="مكتبة الأوامر" sheetId="3" r:id="rId3"/>
    <sheet name="الإجمالي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<sst xmlns="http://schemas.openxmlformats.org/spreadsheetml/2006/main" count="40" uniqueCount="38">
  <si>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المهمة</t>
  </si>
  <si>
    <t>كم مرة شهريًا</t>
  </si>
  <si>
    <t>الوقت المعتاد (دقيقة)</t>
  </si>
  <si>
    <t>مستوى التحقق المطلوب</t>
  </si>
  <si>
    <t>النمط</t>
  </si>
  <si>
    <t>أين قد يخطئ التطبيق؟</t>
  </si>
  <si>
    <t>تحديث المدير بقرارات لجنة</t>
  </si>
  <si>
    <t>مرتفع</t>
  </si>
  <si>
    <t>أتمتة</t>
  </si>
  <si>
    <t>ينسب موعدًا أو مسؤولًا غير وارد في المحضر</t>
  </si>
  <si>
    <t>التاريخ</t>
  </si>
  <si>
    <t>التطبيق</t>
  </si>
  <si>
    <t>قبل (دقيقة)</t>
  </si>
  <si>
    <t>بعد (دقيقة)</t>
  </si>
  <si>
    <t>الوفر (دقيقة)</t>
  </si>
  <si>
    <t>معيار القبول</t>
  </si>
  <si>
    <t>تحقّق؟</t>
  </si>
  <si>
    <t>ما صحّحته</t>
  </si>
  <si>
    <t>2026-10-18</t>
  </si>
  <si>
    <t>تحديث المدير بقرارات اللجنة</t>
  </si>
  <si>
    <t>Claude</t>
  </si>
  <si>
    <t>180 كلمة؛ لكل بند مسؤول وموعد من المحضر</t>
  </si>
  <si>
    <t>بعد تصحيح</t>
  </si>
  <si>
    <t>موعد منسوب لغير مصدره</t>
  </si>
  <si>
    <t>الاسم (فعل + مخرج)</t>
  </si>
  <si>
    <t>متى أستخدمه وعلى أي مادة</t>
  </si>
  <si>
    <t>الأمر بعناصر نائبة [ ]</t>
  </si>
  <si>
    <t>أخطاء شائعة وكيف أتحقق منها</t>
  </si>
  <si>
    <t>تحديث تنفيذي من محضر</t>
  </si>
  <si>
    <t>بعد كل اجتماع لجنة لا يحضره المدير</t>
  </si>
  <si>
    <t>تصرّف كمساعد تنفيذي… القارئ: [المنصب]… بريد لا يتجاوز [عدد] كلمة…</t>
  </si>
  <si>
    <t>لكل بند مسؤول وموعد من المحضر؛ لا معلومة غير واردة</t>
  </si>
  <si>
    <t>يختلق موعدًا: أطابق كل موعد مع المحضر</t>
  </si>
  <si>
    <t>مهام مسجّلة</t>
  </si>
  <si>
    <t>الوقت الموفّر (دقيقة)</t>
  </si>
  <si>
    <t>مهام تحقّقت من أول مرة</t>
  </si>
  <si>
    <t>مهام لم تنجح</t>
  </si>
  <si>
    <t>الصف الثاني في كل ورقة مثال: احذفه أو اكتب فوقه. الإجمالي يبدأ من الصف الثالث.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</si>
</sst>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1"/>
      <color rgb="FF5B6472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35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2.7109375" customWidth="1"/>
    <col min="3" max="3" width="14.7109375" customWidth="1"/>
    <col min="4" max="4" width="16.7109375" customWidth="1"/>
    <col min="5" max="5" width="14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4</v>
      </c>
      <c r="C2" s="2">
        <v>35</v>
      </c>
      <c r="D2" s="2" t="s">
        <v>7</v>
      </c>
      <c r="E2" s="2" t="s">
        <v>8</v>
      </c>
      <c r="F2" s="2" t="s">
        <v>9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</sheetData>
  <dataValidations count="2">
    <dataValidation type="list" allowBlank="1" showInputMessage="1" showErrorMessage="1" sqref="D2:D40">
      <formula1>"منخفض,متوسط,مرتفع"</formula1>
    </dataValidation>
    <dataValidation type="list" allowBlank="1" showInputMessage="1" showErrorMessage="1" sqref="E2:E40">
      <formula1>"أتمتة,تعزيز,توكيل,لي وحدي"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14.7109375" customWidth="1"/>
    <col min="4" max="6" width="11.7109375" customWidth="1"/>
    <col min="7" max="7" width="36.7109375" customWidth="1"/>
    <col min="8" max="8" width="12.7109375" customWidth="1"/>
    <col min="9" max="9" width="32.7109375" customWidth="1"/>
  </cols>
  <sheetData>
    <row r="1" spans="1:9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s="2" t="s">
        <v>18</v>
      </c>
      <c r="B2" s="2" t="s">
        <v>19</v>
      </c>
      <c r="C2" s="2" t="s">
        <v>20</v>
      </c>
      <c r="D2" s="2">
        <v>35</v>
      </c>
      <c r="E2" s="2">
        <v>12</v>
      </c>
      <c r="F2" s="4">
        <f>IF(AND(D2&lt;&gt;"",E2&lt;&gt;""),D2-E2,"")</f>
        <v>23</v>
      </c>
      <c r="G2" s="2" t="s">
        <v>21</v>
      </c>
      <c r="H2" s="2" t="s">
        <v>22</v>
      </c>
      <c r="I2" s="2" t="s">
        <v>23</v>
      </c>
    </row>
    <row r="3" spans="1:9">
      <c r="A3" s="3"/>
      <c r="B3" s="3"/>
      <c r="C3" s="3"/>
      <c r="D3" s="3"/>
      <c r="E3" s="3"/>
      <c r="F3" s="4">
        <f>IF(AND(D3&lt;&gt;"",E3&lt;&gt;""),D3-E3,"")</f>
        <v/>
      </c>
      <c r="G3" s="3"/>
      <c r="H3" s="3"/>
      <c r="I3" s="3"/>
    </row>
    <row r="4" spans="1:9">
      <c r="A4" s="3"/>
      <c r="B4" s="3"/>
      <c r="C4" s="3"/>
      <c r="D4" s="3"/>
      <c r="E4" s="3"/>
      <c r="F4" s="4">
        <f>IF(AND(D4&lt;&gt;"",E4&lt;&gt;""),D4-E4,"")</f>
        <v/>
      </c>
      <c r="G4" s="3"/>
      <c r="H4" s="3"/>
      <c r="I4" s="3"/>
    </row>
    <row r="5" spans="1:9">
      <c r="A5" s="3"/>
      <c r="B5" s="3"/>
      <c r="C5" s="3"/>
      <c r="D5" s="3"/>
      <c r="E5" s="3"/>
      <c r="F5" s="4">
        <f>IF(AND(D5&lt;&gt;"",E5&lt;&gt;""),D5-E5,"")</f>
        <v/>
      </c>
      <c r="G5" s="3"/>
      <c r="H5" s="3"/>
      <c r="I5" s="3"/>
    </row>
    <row r="6" spans="1:9">
      <c r="A6" s="3"/>
      <c r="B6" s="3"/>
      <c r="C6" s="3"/>
      <c r="D6" s="3"/>
      <c r="E6" s="3"/>
      <c r="F6" s="4">
        <f>IF(AND(D6&lt;&gt;"",E6&lt;&gt;""),D6-E6,"")</f>
        <v/>
      </c>
      <c r="G6" s="3"/>
      <c r="H6" s="3"/>
      <c r="I6" s="3"/>
    </row>
    <row r="7" spans="1:9">
      <c r="A7" s="3"/>
      <c r="B7" s="3"/>
      <c r="C7" s="3"/>
      <c r="D7" s="3"/>
      <c r="E7" s="3"/>
      <c r="F7" s="4">
        <f>IF(AND(D7&lt;&gt;"",E7&lt;&gt;""),D7-E7,"")</f>
        <v/>
      </c>
      <c r="G7" s="3"/>
      <c r="H7" s="3"/>
      <c r="I7" s="3"/>
    </row>
    <row r="8" spans="1:9">
      <c r="A8" s="3"/>
      <c r="B8" s="3"/>
      <c r="C8" s="3"/>
      <c r="D8" s="3"/>
      <c r="E8" s="3"/>
      <c r="F8" s="4">
        <f>IF(AND(D8&lt;&gt;"",E8&lt;&gt;""),D8-E8,"")</f>
        <v/>
      </c>
      <c r="G8" s="3"/>
      <c r="H8" s="3"/>
      <c r="I8" s="3"/>
    </row>
    <row r="9" spans="1:9">
      <c r="A9" s="3"/>
      <c r="B9" s="3"/>
      <c r="C9" s="3"/>
      <c r="D9" s="3"/>
      <c r="E9" s="3"/>
      <c r="F9" s="4">
        <f>IF(AND(D9&lt;&gt;"",E9&lt;&gt;""),D9-E9,"")</f>
        <v/>
      </c>
      <c r="G9" s="3"/>
      <c r="H9" s="3"/>
      <c r="I9" s="3"/>
    </row>
    <row r="10" spans="1:9">
      <c r="A10" s="3"/>
      <c r="B10" s="3"/>
      <c r="C10" s="3"/>
      <c r="D10" s="3"/>
      <c r="E10" s="3"/>
      <c r="F10" s="4">
        <f>IF(AND(D10&lt;&gt;"",E10&lt;&gt;""),D10-E10,"")</f>
        <v/>
      </c>
      <c r="G10" s="3"/>
      <c r="H10" s="3"/>
      <c r="I10" s="3"/>
    </row>
    <row r="11" spans="1:9">
      <c r="A11" s="3"/>
      <c r="B11" s="3"/>
      <c r="C11" s="3"/>
      <c r="D11" s="3"/>
      <c r="E11" s="3"/>
      <c r="F11" s="4">
        <f>IF(AND(D11&lt;&gt;"",E11&lt;&gt;""),D11-E11,"")</f>
        <v/>
      </c>
      <c r="G11" s="3"/>
      <c r="H11" s="3"/>
      <c r="I11" s="3"/>
    </row>
    <row r="12" spans="1:9">
      <c r="A12" s="3"/>
      <c r="B12" s="3"/>
      <c r="C12" s="3"/>
      <c r="D12" s="3"/>
      <c r="E12" s="3"/>
      <c r="F12" s="4">
        <f>IF(AND(D12&lt;&gt;"",E12&lt;&gt;""),D12-E12,"")</f>
        <v/>
      </c>
      <c r="G12" s="3"/>
      <c r="H12" s="3"/>
      <c r="I12" s="3"/>
    </row>
    <row r="13" spans="1:9">
      <c r="A13" s="3"/>
      <c r="B13" s="3"/>
      <c r="C13" s="3"/>
      <c r="D13" s="3"/>
      <c r="E13" s="3"/>
      <c r="F13" s="4">
        <f>IF(AND(D13&lt;&gt;"",E13&lt;&gt;""),D13-E13,"")</f>
        <v/>
      </c>
      <c r="G13" s="3"/>
      <c r="H13" s="3"/>
      <c r="I13" s="3"/>
    </row>
    <row r="14" spans="1:9">
      <c r="A14" s="3"/>
      <c r="B14" s="3"/>
      <c r="C14" s="3"/>
      <c r="D14" s="3"/>
      <c r="E14" s="3"/>
      <c r="F14" s="4">
        <f>IF(AND(D14&lt;&gt;"",E14&lt;&gt;""),D14-E14,"")</f>
        <v/>
      </c>
      <c r="G14" s="3"/>
      <c r="H14" s="3"/>
      <c r="I14" s="3"/>
    </row>
    <row r="15" spans="1:9">
      <c r="A15" s="3"/>
      <c r="B15" s="3"/>
      <c r="C15" s="3"/>
      <c r="D15" s="3"/>
      <c r="E15" s="3"/>
      <c r="F15" s="4">
        <f>IF(AND(D15&lt;&gt;"",E15&lt;&gt;""),D15-E15,"")</f>
        <v/>
      </c>
      <c r="G15" s="3"/>
      <c r="H15" s="3"/>
      <c r="I15" s="3"/>
    </row>
    <row r="16" spans="1:9">
      <c r="A16" s="3"/>
      <c r="B16" s="3"/>
      <c r="C16" s="3"/>
      <c r="D16" s="3"/>
      <c r="E16" s="3"/>
      <c r="F16" s="4">
        <f>IF(AND(D16&lt;&gt;"",E16&lt;&gt;""),D16-E16,"")</f>
        <v/>
      </c>
      <c r="G16" s="3"/>
      <c r="H16" s="3"/>
      <c r="I16" s="3"/>
    </row>
    <row r="17" spans="1:9">
      <c r="A17" s="3"/>
      <c r="B17" s="3"/>
      <c r="C17" s="3"/>
      <c r="D17" s="3"/>
      <c r="E17" s="3"/>
      <c r="F17" s="4">
        <f>IF(AND(D17&lt;&gt;"",E17&lt;&gt;""),D17-E17,"")</f>
        <v/>
      </c>
      <c r="G17" s="3"/>
      <c r="H17" s="3"/>
      <c r="I17" s="3"/>
    </row>
    <row r="18" spans="1:9">
      <c r="A18" s="3"/>
      <c r="B18" s="3"/>
      <c r="C18" s="3"/>
      <c r="D18" s="3"/>
      <c r="E18" s="3"/>
      <c r="F18" s="4">
        <f>IF(AND(D18&lt;&gt;"",E18&lt;&gt;""),D18-E18,"")</f>
        <v/>
      </c>
      <c r="G18" s="3"/>
      <c r="H18" s="3"/>
      <c r="I18" s="3"/>
    </row>
    <row r="19" spans="1:9">
      <c r="A19" s="3"/>
      <c r="B19" s="3"/>
      <c r="C19" s="3"/>
      <c r="D19" s="3"/>
      <c r="E19" s="3"/>
      <c r="F19" s="4">
        <f>IF(AND(D19&lt;&gt;"",E19&lt;&gt;""),D19-E19,"")</f>
        <v/>
      </c>
      <c r="G19" s="3"/>
      <c r="H19" s="3"/>
      <c r="I19" s="3"/>
    </row>
    <row r="20" spans="1:9">
      <c r="A20" s="3"/>
      <c r="B20" s="3"/>
      <c r="C20" s="3"/>
      <c r="D20" s="3"/>
      <c r="E20" s="3"/>
      <c r="F20" s="4">
        <f>IF(AND(D20&lt;&gt;"",E20&lt;&gt;""),D20-E20,"")</f>
        <v/>
      </c>
      <c r="G20" s="3"/>
      <c r="H20" s="3"/>
      <c r="I20" s="3"/>
    </row>
    <row r="21" spans="1:9">
      <c r="A21" s="3"/>
      <c r="B21" s="3"/>
      <c r="C21" s="3"/>
      <c r="D21" s="3"/>
      <c r="E21" s="3"/>
      <c r="F21" s="4">
        <f>IF(AND(D21&lt;&gt;"",E21&lt;&gt;""),D21-E21,"")</f>
        <v/>
      </c>
      <c r="G21" s="3"/>
      <c r="H21" s="3"/>
      <c r="I21" s="3"/>
    </row>
    <row r="22" spans="1:9">
      <c r="A22" s="3"/>
      <c r="B22" s="3"/>
      <c r="C22" s="3"/>
      <c r="D22" s="3"/>
      <c r="E22" s="3"/>
      <c r="F22" s="4">
        <f>IF(AND(D22&lt;&gt;"",E22&lt;&gt;""),D22-E22,"")</f>
        <v/>
      </c>
      <c r="G22" s="3"/>
      <c r="H22" s="3"/>
      <c r="I22" s="3"/>
    </row>
    <row r="23" spans="1:9">
      <c r="A23" s="3"/>
      <c r="B23" s="3"/>
      <c r="C23" s="3"/>
      <c r="D23" s="3"/>
      <c r="E23" s="3"/>
      <c r="F23" s="4">
        <f>IF(AND(D23&lt;&gt;"",E23&lt;&gt;""),D23-E23,"")</f>
        <v/>
      </c>
      <c r="G23" s="3"/>
      <c r="H23" s="3"/>
      <c r="I23" s="3"/>
    </row>
    <row r="24" spans="1:9">
      <c r="A24" s="3"/>
      <c r="B24" s="3"/>
      <c r="C24" s="3"/>
      <c r="D24" s="3"/>
      <c r="E24" s="3"/>
      <c r="F24" s="4">
        <f>IF(AND(D24&lt;&gt;"",E24&lt;&gt;""),D24-E24,"")</f>
        <v/>
      </c>
      <c r="G24" s="3"/>
      <c r="H24" s="3"/>
      <c r="I24" s="3"/>
    </row>
    <row r="25" spans="1:9">
      <c r="A25" s="3"/>
      <c r="B25" s="3"/>
      <c r="C25" s="3"/>
      <c r="D25" s="3"/>
      <c r="E25" s="3"/>
      <c r="F25" s="4">
        <f>IF(AND(D25&lt;&gt;"",E25&lt;&gt;""),D25-E25,"")</f>
        <v/>
      </c>
      <c r="G25" s="3"/>
      <c r="H25" s="3"/>
      <c r="I25" s="3"/>
    </row>
    <row r="26" spans="1:9">
      <c r="A26" s="3"/>
      <c r="B26" s="3"/>
      <c r="C26" s="3"/>
      <c r="D26" s="3"/>
      <c r="E26" s="3"/>
      <c r="F26" s="4">
        <f>IF(AND(D26&lt;&gt;"",E26&lt;&gt;""),D26-E26,"")</f>
        <v/>
      </c>
      <c r="G26" s="3"/>
      <c r="H26" s="3"/>
      <c r="I26" s="3"/>
    </row>
    <row r="27" spans="1:9">
      <c r="A27" s="3"/>
      <c r="B27" s="3"/>
      <c r="C27" s="3"/>
      <c r="D27" s="3"/>
      <c r="E27" s="3"/>
      <c r="F27" s="4">
        <f>IF(AND(D27&lt;&gt;"",E27&lt;&gt;""),D27-E27,"")</f>
        <v/>
      </c>
      <c r="G27" s="3"/>
      <c r="H27" s="3"/>
      <c r="I27" s="3"/>
    </row>
    <row r="28" spans="1:9">
      <c r="A28" s="3"/>
      <c r="B28" s="3"/>
      <c r="C28" s="3"/>
      <c r="D28" s="3"/>
      <c r="E28" s="3"/>
      <c r="F28" s="4">
        <f>IF(AND(D28&lt;&gt;"",E28&lt;&gt;""),D28-E28,"")</f>
        <v/>
      </c>
      <c r="G28" s="3"/>
      <c r="H28" s="3"/>
      <c r="I28" s="3"/>
    </row>
    <row r="29" spans="1:9">
      <c r="A29" s="3"/>
      <c r="B29" s="3"/>
      <c r="C29" s="3"/>
      <c r="D29" s="3"/>
      <c r="E29" s="3"/>
      <c r="F29" s="4">
        <f>IF(AND(D29&lt;&gt;"",E29&lt;&gt;""),D29-E29,"")</f>
        <v/>
      </c>
      <c r="G29" s="3"/>
      <c r="H29" s="3"/>
      <c r="I29" s="3"/>
    </row>
    <row r="30" spans="1:9">
      <c r="A30" s="3"/>
      <c r="B30" s="3"/>
      <c r="C30" s="3"/>
      <c r="D30" s="3"/>
      <c r="E30" s="3"/>
      <c r="F30" s="4">
        <f>IF(AND(D30&lt;&gt;"",E30&lt;&gt;""),D30-E30,"")</f>
        <v/>
      </c>
      <c r="G30" s="3"/>
      <c r="H30" s="3"/>
      <c r="I30" s="3"/>
    </row>
    <row r="31" spans="1:9">
      <c r="A31" s="3"/>
      <c r="B31" s="3"/>
      <c r="C31" s="3"/>
      <c r="D31" s="3"/>
      <c r="E31" s="3"/>
      <c r="F31" s="4">
        <f>IF(AND(D31&lt;&gt;"",E31&lt;&gt;""),D31-E31,"")</f>
        <v/>
      </c>
      <c r="G31" s="3"/>
      <c r="H31" s="3"/>
      <c r="I31" s="3"/>
    </row>
    <row r="32" spans="1:9">
      <c r="A32" s="3"/>
      <c r="B32" s="3"/>
      <c r="C32" s="3"/>
      <c r="D32" s="3"/>
      <c r="E32" s="3"/>
      <c r="F32" s="4">
        <f>IF(AND(D32&lt;&gt;"",E32&lt;&gt;""),D32-E32,"")</f>
        <v/>
      </c>
      <c r="G32" s="3"/>
      <c r="H32" s="3"/>
      <c r="I32" s="3"/>
    </row>
    <row r="33" spans="1:9">
      <c r="A33" s="3"/>
      <c r="B33" s="3"/>
      <c r="C33" s="3"/>
      <c r="D33" s="3"/>
      <c r="E33" s="3"/>
      <c r="F33" s="4">
        <f>IF(AND(D33&lt;&gt;"",E33&lt;&gt;""),D33-E33,"")</f>
        <v/>
      </c>
      <c r="G33" s="3"/>
      <c r="H33" s="3"/>
      <c r="I33" s="3"/>
    </row>
    <row r="34" spans="1:9">
      <c r="A34" s="3"/>
      <c r="B34" s="3"/>
      <c r="C34" s="3"/>
      <c r="D34" s="3"/>
      <c r="E34" s="3"/>
      <c r="F34" s="4">
        <f>IF(AND(D34&lt;&gt;"",E34&lt;&gt;""),D34-E34,"")</f>
        <v/>
      </c>
      <c r="G34" s="3"/>
      <c r="H34" s="3"/>
      <c r="I34" s="3"/>
    </row>
    <row r="35" spans="1:9">
      <c r="A35" s="3"/>
      <c r="B35" s="3"/>
      <c r="C35" s="3"/>
      <c r="D35" s="3"/>
      <c r="E35" s="3"/>
      <c r="F35" s="4">
        <f>IF(AND(D35&lt;&gt;"",E35&lt;&gt;""),D35-E35,"")</f>
        <v/>
      </c>
      <c r="G35" s="3"/>
      <c r="H35" s="3"/>
      <c r="I35" s="3"/>
    </row>
    <row r="36" spans="1:9">
      <c r="A36" s="3"/>
      <c r="B36" s="3"/>
      <c r="C36" s="3"/>
      <c r="D36" s="3"/>
      <c r="E36" s="3"/>
      <c r="F36" s="4">
        <f>IF(AND(D36&lt;&gt;"",E36&lt;&gt;""),D36-E36,"")</f>
        <v/>
      </c>
      <c r="G36" s="3"/>
      <c r="H36" s="3"/>
      <c r="I36" s="3"/>
    </row>
    <row r="37" spans="1:9">
      <c r="A37" s="3"/>
      <c r="B37" s="3"/>
      <c r="C37" s="3"/>
      <c r="D37" s="3"/>
      <c r="E37" s="3"/>
      <c r="F37" s="4">
        <f>IF(AND(D37&lt;&gt;"",E37&lt;&gt;""),D37-E37,"")</f>
        <v/>
      </c>
      <c r="G37" s="3"/>
      <c r="H37" s="3"/>
      <c r="I37" s="3"/>
    </row>
    <row r="38" spans="1:9">
      <c r="A38" s="3"/>
      <c r="B38" s="3"/>
      <c r="C38" s="3"/>
      <c r="D38" s="3"/>
      <c r="E38" s="3"/>
      <c r="F38" s="4">
        <f>IF(AND(D38&lt;&gt;"",E38&lt;&gt;""),D38-E38,"")</f>
        <v/>
      </c>
      <c r="G38" s="3"/>
      <c r="H38" s="3"/>
      <c r="I38" s="3"/>
    </row>
    <row r="39" spans="1:9">
      <c r="A39" s="3"/>
      <c r="B39" s="3"/>
      <c r="C39" s="3"/>
      <c r="D39" s="3"/>
      <c r="E39" s="3"/>
      <c r="F39" s="4">
        <f>IF(AND(D39&lt;&gt;"",E39&lt;&gt;""),D39-E39,"")</f>
        <v/>
      </c>
      <c r="G39" s="3"/>
      <c r="H39" s="3"/>
      <c r="I39" s="3"/>
    </row>
    <row r="40" spans="1:9">
      <c r="A40" s="3"/>
      <c r="B40" s="3"/>
      <c r="C40" s="3"/>
      <c r="D40" s="3"/>
      <c r="E40" s="3"/>
      <c r="F40" s="4">
        <f>IF(AND(D40&lt;&gt;"",E40&lt;&gt;""),D40-E40,"")</f>
        <v/>
      </c>
      <c r="G40" s="3"/>
      <c r="H40" s="3"/>
      <c r="I40" s="3"/>
    </row>
  </sheetData>
  <dataValidations count="1">
    <dataValidation type="list" allowBlank="1" showInputMessage="1" showErrorMessage="1" sqref="H2:H40">
      <formula1>"نعم,بعد تصحيح,لا"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8.7109375" customWidth="1"/>
    <col min="3" max="3" width="60.7109375" customWidth="1"/>
    <col min="4" max="4" width="32.7109375" customWidth="1"/>
    <col min="5" max="5" width="34.7109375" customWidth="1"/>
  </cols>
  <sheetData>
    <row r="1" spans="1:5">
      <c r="A1" s="1" t="s">
        <v>24</v>
      </c>
      <c r="B1" s="1" t="s">
        <v>25</v>
      </c>
      <c r="C1" s="1" t="s">
        <v>26</v>
      </c>
      <c r="D1" s="1" t="s">
        <v>15</v>
      </c>
      <c r="E1" s="1" t="s">
        <v>27</v>
      </c>
    </row>
    <row r="2" spans="1: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rightToLeft="1" workbookViewId="0"/>
  </sheetViews>
  <sheetFormatPr defaultRowHeight="15"/>
  <cols>
    <col min="1" max="2" width="30.7109375" customWidth="1"/>
  </cols>
  <sheetData>
    <row r="1" spans="1:2">
      <c r="A1" s="1" t="s">
        <v>33</v>
      </c>
      <c r="B1" s="4">
        <f>COUNTA('سجل الإنتاجية'!B3:B40)</f>
        <v>0</v>
      </c>
    </row>
    <row r="2" spans="1:2">
      <c r="A2" s="1" t="s">
        <v>34</v>
      </c>
      <c r="B2" s="4">
        <f>SUM('سجل الإنتاجية'!F3:F40)</f>
        <v>0</v>
      </c>
    </row>
    <row r="3" spans="1:2">
      <c r="A3" s="1" t="s">
        <v>35</v>
      </c>
      <c r="B3" s="4">
        <f>COUNTIF('سجل الإنتاجية'!H3:H40,"نعم")</f>
        <v>0</v>
      </c>
    </row>
    <row r="4" spans="1:2">
      <c r="A4" s="1" t="s">
        <v>36</v>
      </c>
      <c r="B4" s="4">
        <f>COUNTIF('سجل الإنتاجية'!H3:H40,"لا")</f>
        <v>0</v>
      </c>
    </row>
    <row r="6" spans="1:2">
      <c r="A6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خريطة المهام</vt:lpstr>
      <vt:lpstr>سجل الإنتاجية</vt:lpstr>
      <vt:lpstr>مكتبة الأوامر</vt:lpstr>
      <vt:lpstr>الإجمالي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مركز الواحة للخدمات المشتركة</dc:creator>
  <cp:lastModifiedBy>مركز الواحة للخدمات المشتركة</cp:lastModifiedBy>
  <dcterms:created xsi:type="dcterms:W3CDTF">2026-10-01T08:00:00Z</dcterms:created>
  <dcterms:modified xsi:type="dcterms:W3CDTF">2026-10-01T08:00:00Z</dcterms:modified>
</cp:coreProperties>
</file>